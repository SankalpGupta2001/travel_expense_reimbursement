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vel Request Form" sheetId="1" r:id="rId1"/>
    <sheet name="Expense Settlement For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I42"/>
  <sheetViews>
    <sheetView workbookViewId="0" rightToLeft="0"/>
  </sheetViews>
  <sheetData>
    <row r="2">
      <c r="B2" s="1" t="str">
        <v>TRAVEL REQUEST FORM</v>
      </c>
    </row>
    <row r="3">
      <c r="B3" s="1" t="str">
        <v>Nortex Industries Ltd  |  Form NTX-TRF-02  |  Rev Nov 2025</v>
      </c>
    </row>
    <row r="5">
      <c r="B5" s="1" t="str">
        <v>Travel Request ID</v>
      </c>
      <c r="C5" s="1" t="str">
        <v>TRQ-2026-0000</v>
      </c>
      <c r="E5" s="1" t="str">
        <v>Issue Date</v>
      </c>
    </row>
    <row r="7">
      <c r="B7" s="1" t="str">
        <v>1) EMPLOYEE DETAIL</v>
      </c>
    </row>
    <row r="8">
      <c r="B8" s="1" t="str">
        <v>Employee Name</v>
      </c>
      <c r="C8" s="1" t="str">
        <v>Chaitanya Reddy</v>
      </c>
      <c r="E8" s="1" t="str">
        <v>Employee Code</v>
      </c>
      <c r="F8" s="1" t="str">
        <v>NX-4471</v>
      </c>
    </row>
    <row r="9">
      <c r="B9" s="1" t="str">
        <v>Designation</v>
      </c>
      <c r="C9" s="1" t="str">
        <v>Manager - Key Accounts</v>
      </c>
      <c r="E9" s="1" t="str">
        <v>Department</v>
      </c>
      <c r="F9" s="1" t="str">
        <v>Sales</v>
      </c>
    </row>
    <row r="10">
      <c r="B10" s="1" t="str">
        <v>Cost Centre</v>
      </c>
      <c r="C10" s="1" t="str">
        <v>CE110</v>
      </c>
      <c r="E10" s="1" t="str">
        <v>Reporting Manager</v>
      </c>
      <c r="F10" s="1" t="str">
        <v>Suresh Iyer</v>
      </c>
    </row>
    <row r="12">
      <c r="B12" s="1" t="str">
        <v>2) TRAVEL DETAIL</v>
      </c>
    </row>
    <row r="13">
      <c r="B13" s="1" t="str">
        <v>From Date</v>
      </c>
      <c r="C13" s="1" t="str">
        <v>16-Jun-2026</v>
      </c>
      <c r="E13" s="1" t="str">
        <v>To Date</v>
      </c>
      <c r="F13" s="1" t="str">
        <v>20-Jun-2026</v>
      </c>
    </row>
    <row r="14">
      <c r="B14" s="1" t="str">
        <v>No. of Days</v>
      </c>
      <c r="C14" s="1" t="str">
        <v>5</v>
      </c>
      <c r="E14" s="1" t="str">
        <v>Travel Category</v>
      </c>
      <c r="F14" s="1" t="str">
        <v>Domestic - Tier 1</v>
      </c>
    </row>
    <row r="15">
      <c r="B15" s="1" t="str">
        <v>Visiting Place / Company</v>
      </c>
      <c r="C15" s="1" t="str">
        <v>Bengaluru / Vertex Technologies</v>
      </c>
      <c r="E15" s="1" t="str">
        <v>Currency</v>
      </c>
      <c r="F15" s="1" t="str">
        <v>INR</v>
      </c>
    </row>
    <row r="16">
      <c r="B16" s="1" t="str">
        <v>Purpose of Travel</v>
      </c>
      <c r="C16" s="1" t="str">
        <v>Customer meeting + site visit</v>
      </c>
      <c r="E16" s="1" t="str">
        <v>Mode of Travel</v>
      </c>
      <c r="F16" s="1" t="str">
        <v>Flight</v>
      </c>
    </row>
    <row r="18">
      <c r="B18" s="1" t="str">
        <v>3) ESTIMATED COST</v>
      </c>
    </row>
    <row r="19">
      <c r="B19" s="1" t="str">
        <v>Head</v>
      </c>
      <c r="C19" s="1" t="str">
        <v>Basis</v>
      </c>
      <c r="D19" s="1" t="str">
        <v>Estimate</v>
      </c>
      <c r="E19" s="1" t="str">
        <v>Borne By</v>
      </c>
    </row>
    <row r="20">
      <c r="B20" s="1" t="str">
        <v>Air / Rail</v>
      </c>
      <c r="C20" s="1" t="str">
        <v>Return, economy</v>
      </c>
      <c r="D20" s="1">
        <v>10500</v>
      </c>
      <c r="E20" s="1" t="str">
        <v>Company</v>
      </c>
    </row>
    <row r="21">
      <c r="B21" s="1" t="str">
        <v>Lodging</v>
      </c>
      <c r="C21" s="1" t="str">
        <v>4 nights</v>
      </c>
      <c r="D21" s="1">
        <v>23000</v>
      </c>
      <c r="E21" s="1" t="str">
        <v>Company</v>
      </c>
    </row>
    <row r="22">
      <c r="B22" s="1" t="str">
        <v>Local conveyance</v>
      </c>
      <c r="C22" s="1" t="str">
        <v>Actuals</v>
      </c>
      <c r="D22" s="1">
        <v>4000</v>
      </c>
      <c r="E22" s="1" t="str">
        <v>Employee</v>
      </c>
    </row>
    <row r="23">
      <c r="B23" s="1" t="str">
        <v>Meals / allowance</v>
      </c>
      <c r="C23" s="1" t="str">
        <v>As per policy</v>
      </c>
      <c r="D23" s="1">
        <v>6000</v>
      </c>
      <c r="E23" s="1" t="str">
        <v>Employee</v>
      </c>
    </row>
    <row r="24">
      <c r="B24" s="1" t="str">
        <v>Other</v>
      </c>
    </row>
    <row r="25">
      <c r="B25" s="1" t="str">
        <v>Total estimated cost</v>
      </c>
      <c r="D25" s="1">
        <f>SUM(D20:D24)</f>
        <v>43500</v>
      </c>
    </row>
    <row r="27">
      <c r="B27" s="1" t="str">
        <v>Travel advance requested</v>
      </c>
      <c r="D27" s="1">
        <v>20000</v>
      </c>
    </row>
    <row r="29">
      <c r="B29" s="1" t="str">
        <v>4) APPROVAL WORKFLOW</v>
      </c>
    </row>
    <row r="30">
      <c r="B30" s="1" t="str">
        <v>Level</v>
      </c>
      <c r="C30" s="1" t="str">
        <v>Role</v>
      </c>
      <c r="D30" s="1" t="str">
        <v>Name</v>
      </c>
      <c r="E30" s="1" t="str">
        <v>Decision</v>
      </c>
      <c r="F30" s="1" t="str">
        <v>Date</v>
      </c>
      <c r="G30" s="1" t="str">
        <v>Remarks</v>
      </c>
    </row>
    <row r="31">
      <c r="B31" s="1" t="str">
        <v>1</v>
      </c>
      <c r="C31" s="1" t="str">
        <v>Reporting Manager</v>
      </c>
    </row>
    <row r="32">
      <c r="B32" s="1" t="str">
        <v>2</v>
      </c>
      <c r="C32" s="1" t="str">
        <v>Head of Department</v>
      </c>
    </row>
    <row r="33">
      <c r="B33" s="1" t="str">
        <v>3</v>
      </c>
      <c r="C33" s="1" t="str">
        <v>Head of Division</v>
      </c>
    </row>
    <row r="34">
      <c r="B34" s="1" t="str">
        <v>4</v>
      </c>
      <c r="C34" s="1" t="str">
        <v>Finance</v>
      </c>
    </row>
    <row r="35">
      <c r="B35" s="1" t="str">
        <v>5</v>
      </c>
      <c r="C35" s="1" t="str">
        <v>MD / CEO (if &gt; policy limit)</v>
      </c>
    </row>
    <row r="38">
      <c r="B38" s="1" t="str">
        <v>LEGEND</v>
      </c>
    </row>
    <row r="39">
      <c r="B39" s="1" t="str">
        <v>- Shaded cells are the ones that get filled in. Everything else is fixed form structure.</v>
      </c>
    </row>
    <row r="40">
      <c r="B40" s="1" t="str">
        <v>- Grey italic text is one worked example, shown only to indicate expected format. Clear it before real use.</v>
      </c>
    </row>
    <row r="41">
      <c r="B41" s="1" t="str">
        <v>- Total estimated cost is a formula (=SUM). Do not overwrite it with a typed number.</v>
      </c>
    </row>
    <row r="42">
      <c r="B42" s="1" t="str">
        <v>- Approval levels required depend on amount and travel category - see expense_policy.md.</v>
      </c>
    </row>
  </sheetData>
  <pageMargins left="0.75" right="0.75" top="1" bottom="1" header="0.511811023622047" footer="0.511811023622047"/>
  <ignoredErrors>
    <ignoredError numberStoredAsText="1" sqref="B2:I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J67"/>
  <sheetViews>
    <sheetView workbookViewId="0" rightToLeft="0"/>
  </sheetViews>
  <sheetData>
    <row r="2">
      <c r="B2" s="1" t="str">
        <v>TRAVEL EXPENSE SETTLEMENT FORM</v>
      </c>
    </row>
    <row r="3">
      <c r="B3" s="1" t="str">
        <v>Nortex Industries Ltd  |  Form NTX-SET-02  |  Rev Nov 2025  |  To be read with the Travel Request Form</v>
      </c>
    </row>
    <row r="5">
      <c r="B5" s="1" t="str">
        <v>Travel Request ID</v>
      </c>
      <c r="C5" s="1" t="str">
        <v>TRQ-2026-0000</v>
      </c>
      <c r="E5" s="1" t="str">
        <v>Settlement Date</v>
      </c>
      <c r="F5" s="1" t="str">
        <v/>
      </c>
    </row>
    <row r="6">
      <c r="B6" s="1" t="str">
        <v>Employee Name</v>
      </c>
      <c r="C6" s="1" t="str">
        <v>Chaitanya Reddy</v>
      </c>
      <c r="E6" s="1" t="str">
        <v>Employee Code</v>
      </c>
      <c r="F6" s="1" t="str">
        <v>NX-4471</v>
      </c>
    </row>
    <row r="7">
      <c r="B7" s="1" t="str">
        <v>Cost Centre</v>
      </c>
      <c r="C7" s="1" t="str">
        <v>CE110</v>
      </c>
      <c r="E7" s="1" t="str">
        <v>Currency</v>
      </c>
      <c r="F7" s="1" t="str">
        <v>INR</v>
      </c>
    </row>
    <row r="9">
      <c r="B9" s="1" t="str">
        <v>1) LODGING</v>
      </c>
    </row>
    <row r="10">
      <c r="B10" s="1" t="str">
        <v>Check In</v>
      </c>
      <c r="C10" s="1" t="str">
        <v>Check Out</v>
      </c>
      <c r="D10" s="1" t="str">
        <v>Nights</v>
      </c>
      <c r="E10" s="1" t="str">
        <v>Hotel Name</v>
      </c>
      <c r="F10" s="1" t="str">
        <v>City</v>
      </c>
      <c r="G10" s="1" t="str">
        <v>Paid By</v>
      </c>
      <c r="H10" s="1" t="str">
        <v>Amount</v>
      </c>
      <c r="I10" s="1" t="str">
        <v>Proof Ref</v>
      </c>
    </row>
    <row r="11">
      <c r="B11" s="1" t="str">
        <v>16-Jun-2026</v>
      </c>
      <c r="C11" s="1" t="str">
        <v>19-Jun-2026</v>
      </c>
      <c r="D11" s="1">
        <v>3</v>
      </c>
      <c r="E11" s="1" t="str">
        <v>Keys Prime Whitefield</v>
      </c>
      <c r="F11" s="1" t="str">
        <v>Bengaluru</v>
      </c>
      <c r="G11" s="1" t="str">
        <v>Employee</v>
      </c>
      <c r="H11" s="1">
        <v>19554</v>
      </c>
      <c r="I11" s="1" t="str">
        <v>hotel_invoice_1188.png</v>
      </c>
    </row>
    <row r="12"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</row>
    <row r="13"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</row>
    <row r="14"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</row>
    <row r="15">
      <c r="G15" s="1" t="str">
        <v>Lodging total</v>
      </c>
      <c r="H15" s="1">
        <f>=SUM(H11:H14)</f>
        <v>0</v>
      </c>
    </row>
    <row r="17">
      <c r="B17" s="1" t="str">
        <v>2) TRAVEL &amp; TRANSPORTATION</v>
      </c>
    </row>
    <row r="18">
      <c r="B18" s="1" t="str">
        <v>Date</v>
      </c>
      <c r="C18" s="1" t="str">
        <v>Time</v>
      </c>
      <c r="D18" s="1" t="str">
        <v>From</v>
      </c>
      <c r="E18" s="1" t="str">
        <v>To</v>
      </c>
      <c r="F18" s="1" t="str">
        <v>Mode</v>
      </c>
      <c r="G18" s="1" t="str">
        <v>Paid By</v>
      </c>
      <c r="H18" s="1" t="str">
        <v>Amount</v>
      </c>
      <c r="I18" s="1" t="str">
        <v>Proof Ref</v>
      </c>
    </row>
    <row r="19">
      <c r="B19" s="1" t="str">
        <v>16-Jun-2026</v>
      </c>
      <c r="C19" s="1" t="str">
        <v>05:20 AM</v>
      </c>
      <c r="D19" s="1" t="str">
        <v>Baner, Pune</v>
      </c>
      <c r="E19" s="1" t="str">
        <v>Pune International Airport (PNQ)</v>
      </c>
      <c r="F19" s="1" t="str">
        <v>Uber</v>
      </c>
      <c r="G19" s="1" t="str">
        <v>Employee</v>
      </c>
      <c r="H19" s="1">
        <v>1415.02</v>
      </c>
      <c r="I19" s="1" t="str">
        <v>15_return_cab.eml</v>
      </c>
    </row>
    <row r="20">
      <c r="B20" s="1" t="str">
        <v>16-Jun-2026</v>
      </c>
      <c r="C20" s="1" t="str">
        <v>07:55 AM</v>
      </c>
      <c r="D20" s="1" t="str">
        <v>Pune</v>
      </c>
      <c r="E20" s="1" t="str">
        <v>Bengaluru</v>
      </c>
      <c r="F20" s="1" t="str">
        <v>Flight</v>
      </c>
      <c r="G20" s="1" t="str">
        <v>Company</v>
      </c>
      <c r="H20" s="1">
        <v>5016</v>
      </c>
      <c r="I20" s="1" t="str">
        <v>03_advance_disbursed.eml</v>
      </c>
    </row>
    <row r="21">
      <c r="B21" s="1" t="str">
        <v>16-Jun-2026</v>
      </c>
      <c r="C21" s="1" t="str">
        <v>09:52 AM</v>
      </c>
      <c r="D21" s="1" t="str">
        <v>Kempegowda International Airport (BLR)</v>
      </c>
      <c r="E21" s="1" t="str">
        <v>Keys Prime Hotel, Whitefield</v>
      </c>
      <c r="F21" s="1" t="str">
        <v>Uber</v>
      </c>
      <c r="G21" s="1" t="str">
        <v>Employee</v>
      </c>
      <c r="H21" s="1">
        <v>743</v>
      </c>
      <c r="I21" s="1" t="str">
        <v>08_uber_payment_failed.eml</v>
      </c>
    </row>
    <row r="22">
      <c r="B22" s="1" t="str">
        <v>17-Jun-2026</v>
      </c>
      <c r="C22" s="1" t="str">
        <v>07:35 PM</v>
      </c>
      <c r="D22" s="1" t="str">
        <v>Vertex Technologies, Whitefield</v>
      </c>
      <c r="E22" s="1" t="str">
        <v>Keys Prime Hotel, Whitefield</v>
      </c>
      <c r="F22" s="1" t="str">
        <v>Uber</v>
      </c>
      <c r="G22" s="1" t="str">
        <v>Employee</v>
      </c>
      <c r="H22" s="1">
        <v>172</v>
      </c>
      <c r="I22" s="1" t="str">
        <v>10_uber_receipt_3_resend.eml</v>
      </c>
    </row>
    <row r="23">
      <c r="B23" s="1" t="str">
        <v>20-Jun-2026</v>
      </c>
      <c r="C23" s="1" t="str">
        <v>07:15 PM</v>
      </c>
      <c r="D23" s="1" t="str">
        <v>Bengaluru</v>
      </c>
      <c r="E23" s="1" t="str">
        <v>Pune</v>
      </c>
      <c r="F23" s="1" t="str">
        <v>Flight</v>
      </c>
      <c r="G23" s="1" t="str">
        <v>Company</v>
      </c>
      <c r="H23" s="1">
        <v>5540</v>
      </c>
      <c r="I23" s="1" t="str">
        <v>03_advance_disbursed.eml</v>
      </c>
    </row>
    <row r="24">
      <c r="B24" s="1" t="str">
        <v>20-Jun-2026</v>
      </c>
      <c r="C24" s="1" t="str">
        <v>09:05 PM</v>
      </c>
      <c r="D24" s="1" t="str">
        <v>Pune International Airport (PNQ)</v>
      </c>
      <c r="E24" s="1" t="str">
        <v>Baner, Pune</v>
      </c>
      <c r="F24" s="1" t="str">
        <v>Uber</v>
      </c>
      <c r="G24" s="1" t="str">
        <v>Employee</v>
      </c>
      <c r="H24" s="1">
        <v>1229.02</v>
      </c>
      <c r="I24" s="1" t="str">
        <v>14_promo_noise.eml</v>
      </c>
    </row>
    <row r="25"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</row>
    <row r="26"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</row>
    <row r="27"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</row>
    <row r="28"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</row>
    <row r="29">
      <c r="G29" s="1" t="str">
        <v>Transportation total</v>
      </c>
      <c r="H29" s="1">
        <f>=SUM(H19:H28)</f>
        <v>0</v>
      </c>
    </row>
    <row r="31">
      <c r="B31" s="1" t="str">
        <v>3) OTHER EXPENSES  (meals, allowance, business entertainment, misc)</v>
      </c>
    </row>
    <row r="32">
      <c r="B32" s="1" t="str">
        <v>Date</v>
      </c>
      <c r="C32" s="1" t="str">
        <v>Head</v>
      </c>
      <c r="D32" s="1" t="str">
        <v>Description</v>
      </c>
      <c r="G32" s="1" t="str">
        <v>Paid By</v>
      </c>
      <c r="H32" s="1" t="str">
        <v>Amount</v>
      </c>
      <c r="I32" s="1" t="str">
        <v>Proof Ref</v>
      </c>
    </row>
    <row r="33">
      <c r="B33" s="1" t="str">
        <v>19-Jun-2026</v>
      </c>
      <c r="C33" s="1" t="str">
        <v>Other</v>
      </c>
      <c r="D33" s="1" t="str">
        <v>Laundry</v>
      </c>
      <c r="G33" s="1" t="str">
        <v>Employee</v>
      </c>
      <c r="H33" s="1">
        <v>450</v>
      </c>
      <c r="I33" s="1" t="str">
        <v>hotel_invoice_1188.png</v>
      </c>
    </row>
    <row r="34">
      <c r="B34" s="1" t="str">
        <v>19-Jun-2026</v>
      </c>
      <c r="C34" s="1" t="str">
        <v>Other</v>
      </c>
      <c r="D34" s="1" t="str">
        <v>Mini bar</v>
      </c>
      <c r="G34" s="1" t="str">
        <v>Employee</v>
      </c>
      <c r="H34" s="1">
        <v>380</v>
      </c>
      <c r="I34" s="1" t="str">
        <v>hotel_invoice_1188.png</v>
      </c>
    </row>
    <row r="35">
      <c r="B35" s="1" t="str">
        <v>19-Jun-2026</v>
      </c>
      <c r="C35" s="1" t="str">
        <v>Meals</v>
      </c>
      <c r="D35" s="1" t="str">
        <v>In-room dining</v>
      </c>
      <c r="G35" s="1" t="str">
        <v>Employee</v>
      </c>
      <c r="H35" s="1">
        <v>1120</v>
      </c>
      <c r="I35" s="1" t="str">
        <v>hotel_invoice_1188.png</v>
      </c>
    </row>
    <row r="36">
      <c r="B36" s="1" t="str">
        <v>18-Jun-2026</v>
      </c>
      <c r="C36" s="1" t="str">
        <v>Business Entertainment</v>
      </c>
      <c r="D36" s="1" t="str">
        <v>Dinner with Vertex procurement team, 4 people</v>
      </c>
      <c r="G36" s="1" t="str">
        <v>Employee</v>
      </c>
      <c r="H36" s="1">
        <v>2255</v>
      </c>
      <c r="I36" s="1" t="str">
        <v>dinner_bill_18jun.png</v>
      </c>
    </row>
    <row r="37">
      <c r="B37" s="1" t="str">
        <v/>
      </c>
      <c r="C37" s="1" t="str">
        <v/>
      </c>
      <c r="D37" s="1" t="str">
        <v/>
      </c>
      <c r="G37" s="1" t="str">
        <v/>
      </c>
      <c r="H37" s="1" t="str">
        <v/>
      </c>
      <c r="I37" s="1" t="str">
        <v/>
      </c>
    </row>
    <row r="38">
      <c r="B38" s="1" t="str">
        <v/>
      </c>
      <c r="C38" s="1" t="str">
        <v/>
      </c>
      <c r="D38" s="1" t="str">
        <v/>
      </c>
      <c r="G38" s="1" t="str">
        <v/>
      </c>
      <c r="H38" s="1" t="str">
        <v/>
      </c>
      <c r="I38" s="1" t="str">
        <v/>
      </c>
    </row>
    <row r="39">
      <c r="B39" s="1" t="str">
        <v/>
      </c>
      <c r="C39" s="1" t="str">
        <v/>
      </c>
      <c r="D39" s="1" t="str">
        <v/>
      </c>
      <c r="G39" s="1" t="str">
        <v/>
      </c>
      <c r="H39" s="1" t="str">
        <v/>
      </c>
      <c r="I39" s="1" t="str">
        <v/>
      </c>
    </row>
    <row r="40">
      <c r="B40" s="1" t="str">
        <v/>
      </c>
      <c r="C40" s="1" t="str">
        <v/>
      </c>
      <c r="D40" s="1" t="str">
        <v/>
      </c>
      <c r="G40" s="1" t="str">
        <v/>
      </c>
      <c r="H40" s="1" t="str">
        <v/>
      </c>
      <c r="I40" s="1" t="str">
        <v/>
      </c>
    </row>
    <row r="41">
      <c r="G41" s="1" t="str">
        <v>Other total</v>
      </c>
      <c r="H41" s="1">
        <f>=SUM(H33:H40)</f>
        <v>0</v>
      </c>
    </row>
    <row r="43">
      <c r="B43" s="1" t="str">
        <v>4) SETTLEMENT SUMMARY</v>
      </c>
    </row>
    <row r="44">
      <c r="B44" s="1" t="str">
        <v>Total claim - paid by employee</v>
      </c>
      <c r="H44" s="1">
        <f>=SUMIF(G11:G14,"Employee",H11:H14)+SUMIF(G19:G28,"Employee",H19:H28)+SUMIF(G33:G40,"Employee",H33:H40)</f>
        <v>0</v>
      </c>
    </row>
    <row r="45">
      <c r="B45" s="1" t="str">
        <v>Total paid by company (memo only, not reimbursed)</v>
      </c>
      <c r="H45" s="1">
        <f>=SUMIF(G11:G14,"Company",H11:H14)+SUMIF(G19:G28,"Company",H19:H28)+SUMIF(G33:G40,"Company",H33:H40)</f>
        <v>0</v>
      </c>
    </row>
    <row r="46">
      <c r="B46" s="1" t="str">
        <v>Less: non-reimbursable / disallowed</v>
      </c>
      <c r="H46" s="1">
        <v>830</v>
      </c>
    </row>
    <row r="47">
      <c r="B47" s="1" t="str">
        <v>Net reimbursable claim</v>
      </c>
      <c r="H47" s="1">
        <f>=H44-H46</f>
        <v>0</v>
      </c>
    </row>
    <row r="48">
      <c r="B48" s="1" t="str">
        <v>Less: travel advance drawn</v>
      </c>
      <c r="H48" s="1">
        <v>20000</v>
      </c>
    </row>
    <row r="49">
      <c r="B49" s="1" t="str">
        <v>Amount payable to employee</v>
      </c>
      <c r="H49" s="1">
        <f>=IF(H47-H48&gt;0,H47-H48,0)</f>
        <v>0</v>
      </c>
    </row>
    <row r="50">
      <c r="B50" s="1" t="str">
        <v>Amount recoverable from employee</v>
      </c>
      <c r="H50" s="1">
        <f>=IF(H48-H47&gt;0,H48-H47,0)</f>
        <v>0</v>
      </c>
    </row>
    <row r="52">
      <c r="B52" s="1" t="str">
        <v>5) APPROVAL &amp; FINANCE PROCESSING</v>
      </c>
    </row>
    <row r="53">
      <c r="B53" s="1" t="str">
        <v>Level</v>
      </c>
      <c r="C53" s="1" t="str">
        <v>Role</v>
      </c>
      <c r="D53" s="1" t="str">
        <v>Name</v>
      </c>
      <c r="E53" s="1" t="str">
        <v>Decision</v>
      </c>
      <c r="F53" s="1" t="str">
        <v>Date</v>
      </c>
      <c r="G53" s="1" t="str">
        <v>Remarks</v>
      </c>
    </row>
    <row r="54">
      <c r="B54" s="1" t="str">
        <v>1</v>
      </c>
      <c r="C54" s="1" t="str">
        <v>Employee (submitted by)</v>
      </c>
      <c r="D54" s="1" t="str">
        <v>Chaitanya Reddy</v>
      </c>
    </row>
    <row r="55">
      <c r="B55" s="1" t="str">
        <v>2</v>
      </c>
      <c r="C55" s="1" t="str">
        <v>Reporting Manager</v>
      </c>
      <c r="D55" s="1" t="str">
        <v>Suresh Iyer</v>
      </c>
    </row>
    <row r="56">
      <c r="B56" s="1" t="str">
        <v>3</v>
      </c>
      <c r="C56" s="1" t="str">
        <v>Head of Department</v>
      </c>
      <c r="D56" s="1" t="str">
        <v>Meera Krishnan</v>
      </c>
    </row>
    <row r="57">
      <c r="B57" s="1" t="str">
        <v>4</v>
      </c>
      <c r="C57" s="1" t="str">
        <v>Finance - verification</v>
      </c>
    </row>
    <row r="58">
      <c r="B58" s="1" t="str">
        <v>5</v>
      </c>
      <c r="C58" s="1" t="str">
        <v>Finance - payment released</v>
      </c>
    </row>
    <row r="61">
      <c r="B61" s="1" t="str">
        <v>LEGEND</v>
      </c>
    </row>
    <row r="62">
      <c r="B62" s="1" t="str">
        <v>- Shaded cells are filled in. Every unshaded total is a formula and must not be overwritten.</v>
      </c>
    </row>
    <row r="63">
      <c r="B63" s="1" t="str">
        <v>- Paid By must be exactly 'Employee' or 'Company' - the settlement summary uses SUMIF on that word.</v>
      </c>
    </row>
    <row r="64">
      <c r="B64" s="1" t="str">
        <v>- Only 'Employee' rows are reimbursed. 'Company' rows are recorded for audit and for policy checks only.</v>
      </c>
    </row>
    <row r="65">
      <c r="B65" s="1" t="str">
        <v>- Proof Ref must point at a specific supporting document, not at 'attached mail'.</v>
      </c>
    </row>
    <row r="66">
      <c r="B66" s="1" t="str">
        <v>- Disallowed items (personal expenses, out-of-policy excess) go on row 46 with a remark, they are not silently dropped.</v>
      </c>
    </row>
    <row r="67">
      <c r="B67" s="1" t="str">
        <v>- Payable and recoverable are mutually exclusive - exactly one of them should be non-zero.</v>
      </c>
    </row>
  </sheetData>
  <pageMargins left="0.75" right="0.75" top="1" bottom="1" header="0.511811023622047" footer="0.511811023622047"/>
  <ignoredErrors>
    <ignoredError numberStoredAsText="1" sqref="B2:J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 Request Form</vt:lpstr>
      <vt:lpstr>Expense Settlement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2026-09-02T10:44:16Z</dcterms:created>
  <dcterms:modified xsi:type="dcterms:W3CDTF">2026-09-02T10:44:16Z</dcterms:modified>
  <cp:revision>0</cp:revision>
  <dc:creator>openpyxl</dc:creator>
  <dc:language>en-US</dc:language>
</cp:coreProperties>
</file>